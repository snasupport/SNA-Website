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eter\Documents\Associates\Projects\Servicecalc\ServiceDrive\"/>
    </mc:Choice>
  </mc:AlternateContent>
  <bookViews>
    <workbookView xWindow="0" yWindow="0" windowWidth="19200" windowHeight="7450"/>
  </bookViews>
  <sheets>
    <sheet name="Main" sheetId="3" r:id="rId1"/>
    <sheet name="Data" sheetId="1" r:id="rId2"/>
    <sheet name="Lookups" sheetId="2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3" l="1"/>
  <c r="I4" i="2"/>
  <c r="I5" i="2" s="1"/>
  <c r="I6" i="2" s="1"/>
  <c r="I7" i="2" s="1"/>
  <c r="I8" i="2" s="1"/>
  <c r="I9" i="2" s="1"/>
  <c r="I10" i="2" s="1"/>
  <c r="I11" i="2" s="1"/>
  <c r="I12" i="2" s="1"/>
  <c r="I13" i="2" s="1"/>
  <c r="I14" i="2" s="1"/>
  <c r="I15" i="2" s="1"/>
  <c r="I16" i="2" s="1"/>
  <c r="I17" i="2" s="1"/>
  <c r="I18" i="2" s="1"/>
  <c r="I19" i="2" s="1"/>
  <c r="I20" i="2" s="1"/>
  <c r="I21" i="2" s="1"/>
  <c r="I22" i="2" s="1"/>
  <c r="I23" i="2" s="1"/>
  <c r="I24" i="2" s="1"/>
  <c r="I25" i="2" s="1"/>
  <c r="I26" i="2" s="1"/>
  <c r="I27" i="2" s="1"/>
  <c r="I28" i="2" s="1"/>
  <c r="I29" i="2" s="1"/>
  <c r="I30" i="2" s="1"/>
  <c r="I31" i="2" s="1"/>
  <c r="I32" i="2" s="1"/>
  <c r="I33" i="2" s="1"/>
  <c r="I34" i="2" s="1"/>
  <c r="I35" i="2" s="1"/>
  <c r="I36" i="2" s="1"/>
  <c r="I37" i="2" s="1"/>
  <c r="I38" i="2" s="1"/>
  <c r="I39" i="2" s="1"/>
  <c r="I40" i="2" s="1"/>
  <c r="I41" i="2" s="1"/>
  <c r="I42" i="2" s="1"/>
  <c r="I43" i="2" s="1"/>
  <c r="I44" i="2" s="1"/>
  <c r="I45" i="2" s="1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 s="1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I99" i="2" s="1"/>
  <c r="I100" i="2" s="1"/>
  <c r="I101" i="2" s="1"/>
  <c r="I102" i="2" s="1"/>
  <c r="I103" i="2" s="1"/>
  <c r="I104" i="2" s="1"/>
  <c r="I105" i="2" s="1"/>
  <c r="I106" i="2" s="1"/>
  <c r="I107" i="2" s="1"/>
  <c r="I108" i="2" s="1"/>
  <c r="I109" i="2" s="1"/>
  <c r="I110" i="2" s="1"/>
  <c r="I111" i="2" s="1"/>
  <c r="I112" i="2" s="1"/>
  <c r="I113" i="2" s="1"/>
  <c r="I114" i="2" s="1"/>
  <c r="I115" i="2" s="1"/>
  <c r="I116" i="2" s="1"/>
  <c r="I117" i="2" s="1"/>
  <c r="I118" i="2" s="1"/>
  <c r="I119" i="2" s="1"/>
  <c r="I120" i="2" s="1"/>
  <c r="I121" i="2" s="1"/>
  <c r="I122" i="2" s="1"/>
  <c r="I123" i="2" s="1"/>
  <c r="I124" i="2" s="1"/>
  <c r="I125" i="2" s="1"/>
  <c r="I126" i="2" s="1"/>
  <c r="I127" i="2" s="1"/>
  <c r="I128" i="2" s="1"/>
  <c r="I129" i="2" s="1"/>
  <c r="I3" i="2"/>
</calcChain>
</file>

<file path=xl/sharedStrings.xml><?xml version="1.0" encoding="utf-8"?>
<sst xmlns="http://schemas.openxmlformats.org/spreadsheetml/2006/main" count="255" uniqueCount="182">
  <si>
    <t>Id</t>
  </si>
  <si>
    <t>SiteId</t>
  </si>
  <si>
    <t>VIN</t>
  </si>
  <si>
    <t>MakeId</t>
  </si>
  <si>
    <t>ModelId</t>
  </si>
  <si>
    <t>Year</t>
  </si>
  <si>
    <t>Mileage</t>
  </si>
  <si>
    <t>FirstName</t>
  </si>
  <si>
    <t>LastName</t>
  </si>
  <si>
    <t>CustomerLocationId</t>
  </si>
  <si>
    <t>AdvisorUserId</t>
  </si>
  <si>
    <t>SalesUserId</t>
  </si>
  <si>
    <t>TimeCreated</t>
  </si>
  <si>
    <t>TimeReolved</t>
  </si>
  <si>
    <t>ProductId</t>
  </si>
  <si>
    <t>Comment</t>
  </si>
  <si>
    <t>Interest</t>
  </si>
  <si>
    <t>IsWaiting</t>
  </si>
  <si>
    <t>StatusId</t>
  </si>
  <si>
    <t>CustomerNumber</t>
  </si>
  <si>
    <t>RepairOrder</t>
  </si>
  <si>
    <t>dfgh</t>
  </si>
  <si>
    <t>NULL</t>
  </si>
  <si>
    <t>bin</t>
  </si>
  <si>
    <t>wu</t>
  </si>
  <si>
    <t>asdf</t>
  </si>
  <si>
    <t>dfdf</t>
  </si>
  <si>
    <t>sdfgsdfg</t>
  </si>
  <si>
    <t>sdfgsdf</t>
  </si>
  <si>
    <t>Bin</t>
  </si>
  <si>
    <t>Wu</t>
  </si>
  <si>
    <t>adsfdas</t>
  </si>
  <si>
    <t>Qu</t>
  </si>
  <si>
    <t>dgfhgfdh</t>
  </si>
  <si>
    <t>JH4DA3363HS017471</t>
  </si>
  <si>
    <t>Rubert</t>
  </si>
  <si>
    <t>Merlow</t>
  </si>
  <si>
    <t>1123245fa</t>
  </si>
  <si>
    <t>Merlow2</t>
  </si>
  <si>
    <t>Name</t>
  </si>
  <si>
    <t>CarMakeId</t>
  </si>
  <si>
    <t>Enclave</t>
  </si>
  <si>
    <t>Encore</t>
  </si>
  <si>
    <t>LaCrosse</t>
  </si>
  <si>
    <t>Lucerne</t>
  </si>
  <si>
    <t>Park Avenue</t>
  </si>
  <si>
    <t>Regal</t>
  </si>
  <si>
    <t>Verano</t>
  </si>
  <si>
    <t>ATS</t>
  </si>
  <si>
    <t>ATS Coupe</t>
  </si>
  <si>
    <t>BLS</t>
  </si>
  <si>
    <t>CTS</t>
  </si>
  <si>
    <t>CTS Coupe</t>
  </si>
  <si>
    <t>CTS Wagon</t>
  </si>
  <si>
    <t>CTS-V</t>
  </si>
  <si>
    <t>CTS-V Coupe</t>
  </si>
  <si>
    <t>CTS-V Wagon</t>
  </si>
  <si>
    <t>DTS</t>
  </si>
  <si>
    <t>ELR</t>
  </si>
  <si>
    <t>Escalade</t>
  </si>
  <si>
    <t>Escalade ESV</t>
  </si>
  <si>
    <t>SRX</t>
  </si>
  <si>
    <t>STS</t>
  </si>
  <si>
    <t>STS-V</t>
  </si>
  <si>
    <t>XLR</t>
  </si>
  <si>
    <t>XTS</t>
  </si>
  <si>
    <t xml:space="preserve">XTS </t>
  </si>
  <si>
    <t>Avalanche</t>
  </si>
  <si>
    <t>Aveo</t>
  </si>
  <si>
    <t>Camaro</t>
  </si>
  <si>
    <t>Captiva</t>
  </si>
  <si>
    <t>City Express</t>
  </si>
  <si>
    <t>Cobalt</t>
  </si>
  <si>
    <t>Colorado</t>
  </si>
  <si>
    <t>Corvette</t>
  </si>
  <si>
    <t>Corvette Stingray</t>
  </si>
  <si>
    <t>Cruze</t>
  </si>
  <si>
    <t>Epica</t>
  </si>
  <si>
    <t>Equinox</t>
  </si>
  <si>
    <t>Express</t>
  </si>
  <si>
    <t>Express Cargo</t>
  </si>
  <si>
    <t>HHR</t>
  </si>
  <si>
    <t>Impala</t>
  </si>
  <si>
    <t>Kalos</t>
  </si>
  <si>
    <t>Lacetti</t>
  </si>
  <si>
    <t>Lumina</t>
  </si>
  <si>
    <t>Malibu</t>
  </si>
  <si>
    <t>Matiz</t>
  </si>
  <si>
    <t>Nubira</t>
  </si>
  <si>
    <t>Optra</t>
  </si>
  <si>
    <t>Orlando</t>
  </si>
  <si>
    <t>Rezzo</t>
  </si>
  <si>
    <t>Silverado</t>
  </si>
  <si>
    <t>Silverado 1500</t>
  </si>
  <si>
    <t>Silverado 2500HD</t>
  </si>
  <si>
    <t>Silverado 3500HD</t>
  </si>
  <si>
    <t>Sonic</t>
  </si>
  <si>
    <t>Spark</t>
  </si>
  <si>
    <t>Spark EV</t>
  </si>
  <si>
    <t>SS</t>
  </si>
  <si>
    <t>Suburban</t>
  </si>
  <si>
    <t>Tahoe</t>
  </si>
  <si>
    <t>TrailBlazer</t>
  </si>
  <si>
    <t>Trans Sport</t>
  </si>
  <si>
    <t>Traverse</t>
  </si>
  <si>
    <t>Trax</t>
  </si>
  <si>
    <t>Uplander</t>
  </si>
  <si>
    <t>Volt</t>
  </si>
  <si>
    <t>Acadia</t>
  </si>
  <si>
    <t>Canyon</t>
  </si>
  <si>
    <t>Envoy</t>
  </si>
  <si>
    <t>Savana</t>
  </si>
  <si>
    <t>Sierra</t>
  </si>
  <si>
    <t>Sierra 1500</t>
  </si>
  <si>
    <t>Sierra 2500HD</t>
  </si>
  <si>
    <t>Sierra 3500HD</t>
  </si>
  <si>
    <t>Terrain</t>
  </si>
  <si>
    <t>Yukon</t>
  </si>
  <si>
    <t>Yukon XL</t>
  </si>
  <si>
    <t>First</t>
  </si>
  <si>
    <t>Last</t>
  </si>
  <si>
    <t>Maria</t>
  </si>
  <si>
    <t>Melissa</t>
  </si>
  <si>
    <t>Jonathan</t>
  </si>
  <si>
    <t>Cole</t>
  </si>
  <si>
    <t>Correy</t>
  </si>
  <si>
    <t>Juan</t>
  </si>
  <si>
    <t>Bert</t>
  </si>
  <si>
    <t>Craig</t>
  </si>
  <si>
    <t>Math</t>
  </si>
  <si>
    <t>Jones</t>
  </si>
  <si>
    <t>Morris</t>
  </si>
  <si>
    <t>Clinton</t>
  </si>
  <si>
    <t>Jefferson</t>
  </si>
  <si>
    <t>Konal</t>
  </si>
  <si>
    <t>Bolton</t>
  </si>
  <si>
    <t>Vari</t>
  </si>
  <si>
    <t>Naboso</t>
  </si>
  <si>
    <t>Date</t>
  </si>
  <si>
    <t>Active</t>
  </si>
  <si>
    <t>Sold</t>
  </si>
  <si>
    <t>Declined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</si>
  <si>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</si>
  <si>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</si>
  <si>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</si>
  <si>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</si>
  <si>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</si>
  <si>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</si>
  <si>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</si>
  <si>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</si>
  <si>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</si>
  <si>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</si>
  <si>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</si>
  <si>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</si>
  <si>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</si>
  <si>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</si>
  <si>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</si>
  <si>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</si>
  <si>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</si>
  <si>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</si>
  <si>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</si>
  <si>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</si>
  <si>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</si>
  <si>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</si>
  <si>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</si>
  <si>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</si>
  <si>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</si>
  <si>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</si>
  <si>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Alhabeth</t>
  </si>
  <si>
    <t>UserId</t>
  </si>
  <si>
    <t>(1,'xxVIN',xxMakeId,xxModelId,xxYear,xxMileage,'xxFirstName', 'xxLastName',1,1,xxSalesUserId,'xxTimeCreated','xxTimeResolved',xxProductId,'reason for decision','',1,xxStatusId,'abc','abc')</t>
  </si>
  <si>
    <t>Upload Program</t>
  </si>
  <si>
    <t>This program crates an insert statement to upload multiple records into a database</t>
  </si>
  <si>
    <t>P. Schmitt</t>
  </si>
  <si>
    <t>In row 10 and 11 is a sample sql insert statement</t>
  </si>
  <si>
    <t>The macro takes the template and replaces the values with random entries</t>
  </si>
  <si>
    <t>See the program by clicking on developer / visual basic</t>
  </si>
  <si>
    <t>This program was writtin in 20  minutes!</t>
  </si>
  <si>
    <t>Note: Typically it is better to switch "option explicit" on, but for a small program it is not needed.</t>
  </si>
  <si>
    <t>insert into recommendation (SiteId,VIN,MakeId,ModelId,[Year],Mileage,FirstName, LastName,CustomerLocationId,AdvisorUserId,SalesUserId,TimeCreated,TimeReolved,ProductId,Comment,Interest,IsWaiting,StatusId,CustomerNumber, RepairOrder) values (1,'',10,43,2016,70000,'Cole', '',1,1,12,'11/7/2019 6:14:24 PM','10/2/2019 6:43:12 AM',85,'reason for decision','',1,2,'abc','abc')</t>
  </si>
  <si>
    <t>insert into recommendation (SiteId,VIN,MakeId,ModelId,[Year],Mileage,FirstName, LastName,CustomerLocationId,AdvisorUserId,SalesUserId,TimeCreated,TimeReolved,ProductId,Comment,Interest,IsWaiting,StatusId,CustomerNumber, RepairOrder) values (1,'',12,56,2018,90000,'Jonathan', 'Bolton',1,1,12,'10/31/2019 1:55:12 AM','10/19/2019 5:45:36 AM',84,'reason for decision','',1,3,'abc','abc')</t>
  </si>
  <si>
    <t>insert into recommendation (SiteId,VIN,MakeId,ModelId,[Year],Mileage,FirstName, LastName,CustomerLocationId,AdvisorUserId,SalesUserId,TimeCreated,TimeReolved,ProductId,Comment,Interest,IsWaiting,StatusId,CustomerNumber, RepairOrder) values (1,'',11,84,2018,40000,'Jonathan', 'Morris',1,1,1,'10/14/2019 6:14:24 PM','10/24/2019 8:38:24 AM',86,'reason for decision','',1,3,'abc','abc')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</si>
</sst>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;@"/>
  </numFmts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164" fontId="0" fillId="0" borderId="0" xfId="0" applyNumberFormat="1"/>
    <xf numFmtId="0" fontId="2" fillId="2" borderId="0" xfId="0" applyFont="1" applyFill="1"/>
    <xf numFmtId="14" fontId="2" fillId="2" borderId="0" xfId="0" applyNumberFormat="1" applyFont="1" applyFill="1"/>
    <xf numFmtId="0" fontId="4" fillId="2" borderId="0" xfId="0" applyFont="1" applyFill="1"/>
    <xf numFmtId="0" fontId="2" fillId="3" borderId="0" xfId="0" applyFont="1" applyFill="1"/>
    <xf numFmtId="0" fontId="0" fillId="4" borderId="0" xfId="0" applyFill="1"/>
    <xf numFmtId="0" fontId="0" fillId="5" borderId="0" xfId="0" applyFill="1"/>
    <xf numFmtId="0" fontId="3" fillId="3" borderId="0" xfId="0" applyFont="1" applyFill="1"/>
    <xf numFmtId="0" fontId="3" fillId="4" borderId="0" xfId="0" applyFont="1" applyFill="1"/>
    <xf numFmtId="0" fontId="5" fillId="6" borderId="0" xfId="0" applyFont="1" applyFill="1"/>
    <xf numFmtId="164" fontId="0" fillId="4" borderId="0" xfId="0" applyNumberFormat="1" applyFill="1"/>
    <xf numFmtId="164" fontId="3" fillId="4" borderId="0" xfId="0" applyNumberFormat="1" applyFont="1" applyFill="1"/>
    <xf numFmtId="0" fontId="2" fillId="0" borderId="0" xfId="0" applyFont="1" applyFill="1"/>
    <xf numFmtId="0" fontId="0" fillId="0" borderId="0" xfId="0" applyFill="1"/>
    <xf numFmtId="0" fontId="0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565150</xdr:colOff>
          <xdr:row>5</xdr:row>
          <xdr:rowOff>38100</xdr:rowOff>
        </xdr:from>
        <xdr:to>
          <xdr:col>3</xdr:col>
          <xdr:colOff>419100</xdr:colOff>
          <xdr:row>7</xdr:row>
          <xdr:rowOff>127000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Insert Statement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ain"/>
  <dimension ref="A1:AC16"/>
  <sheetViews>
    <sheetView tabSelected="1" zoomScale="115" zoomScaleNormal="115" workbookViewId="0">
      <selection activeCell="D23" sqref="D23"/>
    </sheetView>
  </sheetViews>
  <sheetFormatPr defaultRowHeight="14.5" x14ac:dyDescent="0.35"/>
  <cols>
    <col min="11" max="11" width="9.453125" bestFit="1" customWidth="1"/>
  </cols>
  <sheetData>
    <row r="1" spans="1:29" x14ac:dyDescent="0.35">
      <c r="A1" s="2"/>
      <c r="B1" s="2"/>
      <c r="C1" s="2"/>
      <c r="D1" s="2"/>
      <c r="E1" s="2"/>
      <c r="F1" s="2"/>
      <c r="G1" s="2"/>
      <c r="H1" s="2"/>
      <c r="I1" s="2"/>
      <c r="J1" s="2"/>
      <c r="K1" s="2" t="s">
        <v>173</v>
      </c>
      <c r="L1" s="2"/>
      <c r="M1" s="2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9" ht="23.5" x14ac:dyDescent="0.55000000000000004">
      <c r="A2" s="2"/>
      <c r="B2" s="4" t="s">
        <v>171</v>
      </c>
      <c r="C2" s="2"/>
      <c r="D2" s="2"/>
      <c r="E2" s="2"/>
      <c r="F2" s="2"/>
      <c r="G2" s="2"/>
      <c r="H2" s="2"/>
      <c r="I2" s="2"/>
      <c r="J2" s="2"/>
      <c r="K2" s="3">
        <v>43776</v>
      </c>
      <c r="L2" s="2"/>
      <c r="M2" s="2"/>
      <c r="N2" s="5"/>
      <c r="O2" s="8" t="s">
        <v>174</v>
      </c>
      <c r="P2" s="5"/>
      <c r="Q2" s="5"/>
      <c r="R2" s="5"/>
      <c r="S2" s="5"/>
      <c r="T2" s="5"/>
      <c r="U2" s="5"/>
      <c r="V2" s="5"/>
      <c r="W2" s="5"/>
      <c r="X2" s="5"/>
    </row>
    <row r="3" spans="1:29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5"/>
      <c r="O3" s="8" t="s">
        <v>175</v>
      </c>
      <c r="P3" s="5"/>
      <c r="Q3" s="5"/>
      <c r="R3" s="5"/>
      <c r="S3" s="5"/>
      <c r="T3" s="5"/>
      <c r="U3" s="5"/>
      <c r="V3" s="5"/>
      <c r="W3" s="5"/>
      <c r="X3" s="5"/>
    </row>
    <row r="4" spans="1:29" x14ac:dyDescent="0.35">
      <c r="A4" s="2"/>
      <c r="B4" s="2" t="s">
        <v>172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5"/>
      <c r="O4" s="8"/>
      <c r="P4" s="5"/>
      <c r="Q4" s="5"/>
      <c r="R4" s="5"/>
      <c r="S4" s="5"/>
      <c r="T4" s="5"/>
      <c r="U4" s="5"/>
      <c r="V4" s="5"/>
      <c r="W4" s="5"/>
      <c r="X4" s="5"/>
    </row>
    <row r="5" spans="1:29" x14ac:dyDescent="0.3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5"/>
      <c r="O5" s="8"/>
      <c r="P5" s="5"/>
      <c r="Q5" s="5"/>
      <c r="R5" s="5"/>
      <c r="S5" s="5"/>
      <c r="T5" s="5"/>
      <c r="U5" s="5"/>
      <c r="V5" s="5"/>
      <c r="W5" s="5"/>
      <c r="X5" s="5"/>
    </row>
    <row r="6" spans="1:29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5"/>
      <c r="O6" s="8" t="s">
        <v>176</v>
      </c>
      <c r="P6" s="5"/>
      <c r="Q6" s="5"/>
      <c r="R6" s="5"/>
      <c r="S6" s="5"/>
      <c r="T6" s="5"/>
      <c r="U6" s="5"/>
      <c r="V6" s="5"/>
      <c r="W6" s="5"/>
      <c r="X6" s="5"/>
    </row>
    <row r="7" spans="1:29" x14ac:dyDescent="0.3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5"/>
      <c r="O7" s="15" t="s">
        <v>178</v>
      </c>
      <c r="P7" s="5"/>
      <c r="Q7" s="5"/>
      <c r="R7" s="5"/>
      <c r="S7" s="5"/>
      <c r="T7" s="5"/>
      <c r="U7" s="5"/>
      <c r="V7" s="5"/>
      <c r="W7" s="5"/>
      <c r="X7" s="5"/>
    </row>
    <row r="8" spans="1:29" ht="18.5" x14ac:dyDescent="0.4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5"/>
      <c r="O8" s="10" t="s">
        <v>177</v>
      </c>
      <c r="P8" s="10"/>
      <c r="Q8" s="10"/>
      <c r="R8" s="10"/>
      <c r="S8" s="10"/>
      <c r="T8" s="10"/>
      <c r="U8" s="5"/>
      <c r="V8" s="5"/>
      <c r="W8" s="5"/>
      <c r="X8" s="5"/>
    </row>
    <row r="9" spans="1:29" s="14" customFormat="1" x14ac:dyDescent="0.3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</row>
    <row r="10" spans="1:29" x14ac:dyDescent="0.35">
      <c r="A10" s="7"/>
      <c r="B10" s="7" t="str">
        <f>"insert into recommendation (SiteId,VIN,MakeId,ModelId,[Year],Mileage,FirstName, LastName,CustomerLocationId,AdvisorUserId,SalesUserId,TimeCreated,TimeReolved,ProductId,Comment,Interest,IsWaiting,StatusId,CustomerNumber, RepairOrder) values "</f>
        <v xml:space="preserve">insert into recommendation (SiteId,VIN,MakeId,ModelId,[Year],Mileage,FirstName, LastName,CustomerLocationId,AdvisorUserId,SalesUserId,TimeCreated,TimeReolved,ProductId,Comment,Interest,IsWaiting,StatusId,CustomerNumber, RepairOrder) values 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</row>
    <row r="11" spans="1:29" x14ac:dyDescent="0.35">
      <c r="A11" s="7"/>
      <c r="B11" s="7" t="s">
        <v>170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</row>
    <row r="14" spans="1:29" x14ac:dyDescent="0.35">
      <c r="A14" t="s">
        <v>179</v>
      </c>
    </row>
    <row r="15" spans="1:29" x14ac:dyDescent="0.35">
      <c r="A15" t="s">
        <v>180</v>
      </c>
    </row>
    <row r="16" spans="1:29" x14ac:dyDescent="0.35">
      <c r="A16" t="s">
        <v>181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reateRecomms">
                <anchor moveWithCells="1" sizeWithCells="1">
                  <from>
                    <xdr:col>0</xdr:col>
                    <xdr:colOff>565150</xdr:colOff>
                    <xdr:row>5</xdr:row>
                    <xdr:rowOff>38100</xdr:rowOff>
                  </from>
                  <to>
                    <xdr:col>3</xdr:col>
                    <xdr:colOff>419100</xdr:colOff>
                    <xdr:row>7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16"/>
  <sheetViews>
    <sheetView workbookViewId="0">
      <selection activeCell="G28" sqref="G28"/>
    </sheetView>
  </sheetViews>
  <sheetFormatPr defaultRowHeight="14.5" x14ac:dyDescent="0.35"/>
  <cols>
    <col min="1" max="1" width="4.36328125" customWidth="1"/>
    <col min="2" max="2" width="5.453125" bestFit="1" customWidth="1"/>
    <col min="3" max="3" width="18.54296875" bestFit="1" customWidth="1"/>
    <col min="4" max="4" width="7.08984375" bestFit="1" customWidth="1"/>
    <col min="5" max="5" width="7.81640625" bestFit="1" customWidth="1"/>
    <col min="6" max="6" width="5" bestFit="1" customWidth="1"/>
    <col min="7" max="7" width="7.36328125" bestFit="1" customWidth="1"/>
    <col min="8" max="8" width="9.26953125" bestFit="1" customWidth="1"/>
    <col min="9" max="9" width="9" bestFit="1" customWidth="1"/>
    <col min="10" max="10" width="17.7265625" bestFit="1" customWidth="1"/>
    <col min="11" max="11" width="12.54296875" bestFit="1" customWidth="1"/>
    <col min="12" max="12" width="10.453125" bestFit="1" customWidth="1"/>
    <col min="13" max="13" width="13.54296875" style="1" bestFit="1" customWidth="1"/>
    <col min="14" max="14" width="11.54296875" bestFit="1" customWidth="1"/>
    <col min="15" max="15" width="8.90625" bestFit="1" customWidth="1"/>
    <col min="16" max="16" width="9" bestFit="1" customWidth="1"/>
    <col min="17" max="17" width="7.26953125" bestFit="1" customWidth="1"/>
    <col min="18" max="18" width="8.54296875" bestFit="1" customWidth="1"/>
    <col min="19" max="19" width="7.54296875" bestFit="1" customWidth="1"/>
    <col min="20" max="20" width="15.81640625" bestFit="1" customWidth="1"/>
    <col min="21" max="21" width="11.08984375" bestFit="1" customWidth="1"/>
  </cols>
  <sheetData>
    <row r="1" spans="1:21" x14ac:dyDescent="0.3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11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</row>
    <row r="2" spans="1:21" x14ac:dyDescent="0.35">
      <c r="A2">
        <v>6</v>
      </c>
      <c r="B2">
        <v>1</v>
      </c>
      <c r="C2" t="s">
        <v>21</v>
      </c>
      <c r="D2">
        <v>12</v>
      </c>
      <c r="E2" t="s">
        <v>22</v>
      </c>
      <c r="F2" t="s">
        <v>22</v>
      </c>
      <c r="G2" t="s">
        <v>22</v>
      </c>
      <c r="H2" t="s">
        <v>23</v>
      </c>
      <c r="I2" t="s">
        <v>24</v>
      </c>
      <c r="J2">
        <v>1</v>
      </c>
      <c r="K2">
        <v>1</v>
      </c>
      <c r="L2">
        <v>1</v>
      </c>
      <c r="M2" s="1">
        <v>43761.488587268519</v>
      </c>
      <c r="N2" t="s">
        <v>22</v>
      </c>
      <c r="O2">
        <v>86</v>
      </c>
      <c r="Q2">
        <v>0</v>
      </c>
      <c r="R2">
        <v>1</v>
      </c>
      <c r="S2">
        <v>1</v>
      </c>
      <c r="T2">
        <v>123</v>
      </c>
    </row>
    <row r="3" spans="1:21" x14ac:dyDescent="0.35">
      <c r="A3">
        <v>7</v>
      </c>
      <c r="B3">
        <v>1</v>
      </c>
      <c r="C3" t="s">
        <v>21</v>
      </c>
      <c r="D3">
        <v>10</v>
      </c>
      <c r="E3">
        <v>10</v>
      </c>
      <c r="F3" t="s">
        <v>22</v>
      </c>
      <c r="G3" t="s">
        <v>22</v>
      </c>
      <c r="H3" t="s">
        <v>23</v>
      </c>
      <c r="I3" t="s">
        <v>24</v>
      </c>
      <c r="J3">
        <v>1</v>
      </c>
      <c r="K3">
        <v>1</v>
      </c>
      <c r="L3">
        <v>1</v>
      </c>
      <c r="M3" s="1">
        <v>43761.490829016206</v>
      </c>
      <c r="N3" t="s">
        <v>22</v>
      </c>
      <c r="O3">
        <v>86</v>
      </c>
      <c r="Q3">
        <v>0</v>
      </c>
      <c r="R3">
        <v>1</v>
      </c>
      <c r="S3">
        <v>1</v>
      </c>
      <c r="T3">
        <v>123</v>
      </c>
    </row>
    <row r="4" spans="1:21" x14ac:dyDescent="0.35">
      <c r="A4">
        <v>8</v>
      </c>
      <c r="B4">
        <v>1</v>
      </c>
      <c r="D4">
        <v>12</v>
      </c>
      <c r="E4" t="s">
        <v>22</v>
      </c>
      <c r="F4" t="s">
        <v>22</v>
      </c>
      <c r="G4" t="s">
        <v>22</v>
      </c>
      <c r="H4" t="s">
        <v>25</v>
      </c>
      <c r="I4" t="s">
        <v>25</v>
      </c>
      <c r="J4">
        <v>1</v>
      </c>
      <c r="K4">
        <v>1</v>
      </c>
      <c r="L4">
        <v>1</v>
      </c>
      <c r="M4" s="1">
        <v>43762.474288888887</v>
      </c>
      <c r="N4" t="s">
        <v>22</v>
      </c>
      <c r="O4">
        <v>89</v>
      </c>
      <c r="Q4">
        <v>0</v>
      </c>
      <c r="R4">
        <v>1</v>
      </c>
      <c r="S4">
        <v>1</v>
      </c>
      <c r="T4" t="s">
        <v>22</v>
      </c>
      <c r="U4" t="s">
        <v>22</v>
      </c>
    </row>
    <row r="5" spans="1:21" x14ac:dyDescent="0.35">
      <c r="A5">
        <v>9</v>
      </c>
      <c r="B5">
        <v>1</v>
      </c>
      <c r="D5">
        <v>10</v>
      </c>
      <c r="E5" t="s">
        <v>22</v>
      </c>
      <c r="F5" t="s">
        <v>22</v>
      </c>
      <c r="G5" t="s">
        <v>22</v>
      </c>
      <c r="H5" t="s">
        <v>26</v>
      </c>
      <c r="I5" t="s">
        <v>25</v>
      </c>
      <c r="J5">
        <v>1</v>
      </c>
      <c r="K5">
        <v>1</v>
      </c>
      <c r="L5">
        <v>12</v>
      </c>
      <c r="M5" s="1">
        <v>43762.475096909722</v>
      </c>
      <c r="N5" t="s">
        <v>22</v>
      </c>
      <c r="O5">
        <v>84</v>
      </c>
      <c r="Q5">
        <v>0</v>
      </c>
      <c r="R5">
        <v>1</v>
      </c>
      <c r="S5">
        <v>1</v>
      </c>
      <c r="T5" t="s">
        <v>22</v>
      </c>
      <c r="U5" t="s">
        <v>22</v>
      </c>
    </row>
    <row r="6" spans="1:21" x14ac:dyDescent="0.35">
      <c r="A6">
        <v>10</v>
      </c>
      <c r="B6">
        <v>1</v>
      </c>
      <c r="D6">
        <v>10</v>
      </c>
      <c r="E6">
        <v>11</v>
      </c>
      <c r="F6" t="s">
        <v>22</v>
      </c>
      <c r="G6" t="s">
        <v>22</v>
      </c>
      <c r="H6" t="s">
        <v>27</v>
      </c>
      <c r="I6" t="s">
        <v>28</v>
      </c>
      <c r="J6">
        <v>2</v>
      </c>
      <c r="K6">
        <v>1</v>
      </c>
      <c r="L6">
        <v>12</v>
      </c>
      <c r="M6" s="1">
        <v>43763.603268437502</v>
      </c>
      <c r="N6" t="s">
        <v>22</v>
      </c>
      <c r="O6">
        <v>88</v>
      </c>
      <c r="Q6">
        <v>0</v>
      </c>
      <c r="R6">
        <v>1</v>
      </c>
      <c r="S6">
        <v>1</v>
      </c>
      <c r="T6" t="s">
        <v>22</v>
      </c>
    </row>
    <row r="7" spans="1:21" x14ac:dyDescent="0.35">
      <c r="A7">
        <v>11</v>
      </c>
      <c r="B7">
        <v>1</v>
      </c>
      <c r="D7">
        <v>10</v>
      </c>
      <c r="E7">
        <v>11</v>
      </c>
      <c r="F7" t="s">
        <v>22</v>
      </c>
      <c r="G7" t="s">
        <v>22</v>
      </c>
      <c r="H7" t="s">
        <v>29</v>
      </c>
      <c r="I7" t="s">
        <v>30</v>
      </c>
      <c r="J7">
        <v>1</v>
      </c>
      <c r="K7">
        <v>1</v>
      </c>
      <c r="L7">
        <v>12</v>
      </c>
      <c r="M7" s="1">
        <v>43766.672205937502</v>
      </c>
      <c r="N7" t="s">
        <v>22</v>
      </c>
      <c r="O7">
        <v>87</v>
      </c>
      <c r="Q7">
        <v>0</v>
      </c>
      <c r="R7">
        <v>1</v>
      </c>
      <c r="S7">
        <v>1</v>
      </c>
      <c r="T7">
        <v>1234</v>
      </c>
      <c r="U7">
        <v>12342134</v>
      </c>
    </row>
    <row r="8" spans="1:21" x14ac:dyDescent="0.35">
      <c r="A8">
        <v>12</v>
      </c>
      <c r="B8">
        <v>1</v>
      </c>
      <c r="D8">
        <v>13</v>
      </c>
      <c r="E8" t="s">
        <v>22</v>
      </c>
      <c r="F8" t="s">
        <v>22</v>
      </c>
      <c r="G8" t="s">
        <v>22</v>
      </c>
      <c r="J8">
        <v>1</v>
      </c>
      <c r="K8">
        <v>1</v>
      </c>
      <c r="L8">
        <v>12</v>
      </c>
      <c r="M8" s="1">
        <v>43766.50945459491</v>
      </c>
      <c r="N8" t="s">
        <v>22</v>
      </c>
      <c r="O8">
        <v>86</v>
      </c>
      <c r="Q8">
        <v>0</v>
      </c>
      <c r="R8">
        <v>1</v>
      </c>
      <c r="S8">
        <v>1</v>
      </c>
      <c r="T8" t="s">
        <v>22</v>
      </c>
    </row>
    <row r="9" spans="1:21" x14ac:dyDescent="0.35">
      <c r="A9">
        <v>13</v>
      </c>
      <c r="B9">
        <v>1</v>
      </c>
      <c r="D9">
        <v>10</v>
      </c>
      <c r="E9">
        <v>11</v>
      </c>
      <c r="F9" t="s">
        <v>22</v>
      </c>
      <c r="G9" t="s">
        <v>22</v>
      </c>
      <c r="H9" t="s">
        <v>29</v>
      </c>
      <c r="I9" t="s">
        <v>30</v>
      </c>
      <c r="J9">
        <v>1</v>
      </c>
      <c r="K9">
        <v>1</v>
      </c>
      <c r="L9">
        <v>12</v>
      </c>
      <c r="M9" s="1">
        <v>43766.514833414352</v>
      </c>
      <c r="N9" t="s">
        <v>22</v>
      </c>
      <c r="O9">
        <v>86</v>
      </c>
      <c r="Q9">
        <v>0</v>
      </c>
      <c r="R9">
        <v>1</v>
      </c>
      <c r="S9">
        <v>2</v>
      </c>
      <c r="T9">
        <v>2154</v>
      </c>
      <c r="U9">
        <v>134</v>
      </c>
    </row>
    <row r="10" spans="1:21" x14ac:dyDescent="0.35">
      <c r="A10">
        <v>14</v>
      </c>
      <c r="B10">
        <v>1</v>
      </c>
      <c r="D10">
        <v>12</v>
      </c>
      <c r="E10">
        <v>41</v>
      </c>
      <c r="F10" t="s">
        <v>22</v>
      </c>
      <c r="G10" t="s">
        <v>22</v>
      </c>
      <c r="H10" t="s">
        <v>29</v>
      </c>
      <c r="I10" t="s">
        <v>30</v>
      </c>
      <c r="J10">
        <v>1</v>
      </c>
      <c r="K10">
        <v>1</v>
      </c>
      <c r="L10">
        <v>10</v>
      </c>
      <c r="M10" s="1">
        <v>43766.805823807874</v>
      </c>
      <c r="N10" t="s">
        <v>22</v>
      </c>
      <c r="O10">
        <v>104</v>
      </c>
      <c r="Q10">
        <v>0</v>
      </c>
      <c r="R10">
        <v>1</v>
      </c>
      <c r="S10">
        <v>3</v>
      </c>
      <c r="T10">
        <v>43554</v>
      </c>
      <c r="U10">
        <v>23542354</v>
      </c>
    </row>
    <row r="11" spans="1:21" x14ac:dyDescent="0.35">
      <c r="A11">
        <v>15</v>
      </c>
      <c r="B11">
        <v>1</v>
      </c>
      <c r="C11" t="s">
        <v>31</v>
      </c>
      <c r="D11">
        <v>10</v>
      </c>
      <c r="E11">
        <v>11</v>
      </c>
      <c r="F11" t="s">
        <v>22</v>
      </c>
      <c r="G11" t="s">
        <v>22</v>
      </c>
      <c r="H11" t="s">
        <v>29</v>
      </c>
      <c r="I11" t="s">
        <v>32</v>
      </c>
      <c r="J11">
        <v>1</v>
      </c>
      <c r="K11">
        <v>1</v>
      </c>
      <c r="L11">
        <v>10</v>
      </c>
      <c r="M11" s="1">
        <v>43766.648460069446</v>
      </c>
      <c r="N11" t="s">
        <v>22</v>
      </c>
      <c r="O11">
        <v>87</v>
      </c>
      <c r="Q11">
        <v>0</v>
      </c>
      <c r="R11">
        <v>1</v>
      </c>
      <c r="S11">
        <v>2</v>
      </c>
      <c r="T11">
        <v>25435</v>
      </c>
      <c r="U11">
        <v>435254</v>
      </c>
    </row>
    <row r="12" spans="1:21" x14ac:dyDescent="0.35">
      <c r="A12">
        <v>16</v>
      </c>
      <c r="B12">
        <v>1</v>
      </c>
      <c r="C12" t="s">
        <v>33</v>
      </c>
      <c r="D12">
        <v>10</v>
      </c>
      <c r="E12">
        <v>11</v>
      </c>
      <c r="F12" t="s">
        <v>22</v>
      </c>
      <c r="G12" t="s">
        <v>22</v>
      </c>
      <c r="H12" t="s">
        <v>29</v>
      </c>
      <c r="I12" t="s">
        <v>30</v>
      </c>
      <c r="J12">
        <v>1</v>
      </c>
      <c r="K12">
        <v>1</v>
      </c>
      <c r="L12">
        <v>11</v>
      </c>
      <c r="M12" s="1">
        <v>43766.652729085647</v>
      </c>
      <c r="N12" t="s">
        <v>22</v>
      </c>
      <c r="O12">
        <v>86</v>
      </c>
      <c r="Q12">
        <v>0</v>
      </c>
      <c r="R12">
        <v>1</v>
      </c>
      <c r="S12">
        <v>2</v>
      </c>
      <c r="T12">
        <v>345345</v>
      </c>
      <c r="U12">
        <v>235454</v>
      </c>
    </row>
    <row r="13" spans="1:21" x14ac:dyDescent="0.35">
      <c r="A13">
        <v>17</v>
      </c>
      <c r="B13">
        <v>1</v>
      </c>
      <c r="D13">
        <v>11</v>
      </c>
      <c r="E13">
        <v>20</v>
      </c>
      <c r="F13" t="s">
        <v>22</v>
      </c>
      <c r="G13" t="s">
        <v>22</v>
      </c>
      <c r="H13" t="s">
        <v>29</v>
      </c>
      <c r="I13" t="s">
        <v>30</v>
      </c>
      <c r="J13">
        <v>1</v>
      </c>
      <c r="K13">
        <v>1</v>
      </c>
      <c r="L13">
        <v>10</v>
      </c>
      <c r="M13" s="1">
        <v>43766.654433067131</v>
      </c>
      <c r="N13" t="s">
        <v>22</v>
      </c>
      <c r="O13">
        <v>101</v>
      </c>
      <c r="Q13">
        <v>0</v>
      </c>
      <c r="R13">
        <v>1</v>
      </c>
      <c r="S13">
        <v>1</v>
      </c>
      <c r="T13">
        <v>4352354</v>
      </c>
      <c r="U13">
        <v>5463456546</v>
      </c>
    </row>
    <row r="14" spans="1:21" x14ac:dyDescent="0.35">
      <c r="A14">
        <v>25</v>
      </c>
      <c r="B14">
        <v>1</v>
      </c>
      <c r="C14" t="s">
        <v>34</v>
      </c>
      <c r="D14">
        <v>10</v>
      </c>
      <c r="E14">
        <v>10</v>
      </c>
      <c r="F14">
        <v>2015</v>
      </c>
      <c r="G14">
        <v>67000</v>
      </c>
      <c r="H14" t="s">
        <v>35</v>
      </c>
      <c r="I14" t="s">
        <v>36</v>
      </c>
      <c r="J14">
        <v>1</v>
      </c>
      <c r="K14">
        <v>1</v>
      </c>
      <c r="L14">
        <v>9</v>
      </c>
      <c r="M14" s="1">
        <v>43773.537417708336</v>
      </c>
      <c r="N14" t="s">
        <v>22</v>
      </c>
      <c r="O14" t="s">
        <v>22</v>
      </c>
      <c r="Q14">
        <v>1</v>
      </c>
      <c r="R14">
        <v>1</v>
      </c>
      <c r="S14">
        <v>1</v>
      </c>
      <c r="T14" t="s">
        <v>37</v>
      </c>
      <c r="U14">
        <v>880006523</v>
      </c>
    </row>
    <row r="15" spans="1:21" x14ac:dyDescent="0.35">
      <c r="A15">
        <v>26</v>
      </c>
      <c r="B15">
        <v>1</v>
      </c>
      <c r="C15" t="s">
        <v>34</v>
      </c>
      <c r="D15">
        <v>10</v>
      </c>
      <c r="E15">
        <v>16</v>
      </c>
      <c r="F15">
        <v>2015</v>
      </c>
      <c r="G15">
        <v>67000</v>
      </c>
      <c r="H15" t="s">
        <v>35</v>
      </c>
      <c r="I15" t="s">
        <v>38</v>
      </c>
      <c r="J15">
        <v>1</v>
      </c>
      <c r="K15">
        <v>1</v>
      </c>
      <c r="L15">
        <v>11</v>
      </c>
      <c r="M15" s="1">
        <v>43773.538555706022</v>
      </c>
      <c r="N15" t="s">
        <v>22</v>
      </c>
      <c r="O15">
        <v>89</v>
      </c>
      <c r="Q15">
        <v>1</v>
      </c>
      <c r="R15">
        <v>1</v>
      </c>
      <c r="S15">
        <v>1</v>
      </c>
      <c r="T15" t="s">
        <v>37</v>
      </c>
      <c r="U15">
        <v>880006523</v>
      </c>
    </row>
    <row r="16" spans="1:21" x14ac:dyDescent="0.35">
      <c r="A16">
        <v>27</v>
      </c>
      <c r="B16">
        <v>1</v>
      </c>
      <c r="D16">
        <v>10</v>
      </c>
      <c r="E16">
        <v>10</v>
      </c>
      <c r="F16" t="s">
        <v>22</v>
      </c>
      <c r="G16" t="s">
        <v>22</v>
      </c>
      <c r="J16">
        <v>1</v>
      </c>
      <c r="K16">
        <v>1</v>
      </c>
      <c r="L16">
        <v>9</v>
      </c>
      <c r="M16" s="1">
        <v>43773.851600381946</v>
      </c>
      <c r="N16" t="s">
        <v>22</v>
      </c>
      <c r="O16">
        <v>92</v>
      </c>
      <c r="Q16">
        <v>1</v>
      </c>
      <c r="R16">
        <v>1</v>
      </c>
      <c r="S16">
        <v>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Lookup"/>
  <dimension ref="A1:P129"/>
  <sheetViews>
    <sheetView workbookViewId="0">
      <selection activeCell="L18" sqref="L18"/>
    </sheetView>
  </sheetViews>
  <sheetFormatPr defaultRowHeight="14.5" x14ac:dyDescent="0.35"/>
  <cols>
    <col min="9" max="9" width="12.453125" style="1" bestFit="1" customWidth="1"/>
  </cols>
  <sheetData>
    <row r="1" spans="1:16" x14ac:dyDescent="0.35">
      <c r="A1" s="9" t="s">
        <v>0</v>
      </c>
      <c r="B1" s="9" t="s">
        <v>39</v>
      </c>
      <c r="C1" s="9" t="s">
        <v>40</v>
      </c>
      <c r="D1" s="9"/>
      <c r="E1" s="9"/>
      <c r="F1" s="9" t="s">
        <v>119</v>
      </c>
      <c r="G1" s="9" t="s">
        <v>120</v>
      </c>
      <c r="H1" s="9"/>
      <c r="I1" s="12" t="s">
        <v>138</v>
      </c>
      <c r="J1" s="9"/>
      <c r="K1" s="9" t="s">
        <v>0</v>
      </c>
      <c r="L1" s="9" t="s">
        <v>39</v>
      </c>
      <c r="M1" s="9"/>
      <c r="N1" s="9" t="s">
        <v>168</v>
      </c>
      <c r="O1" s="9" t="s">
        <v>169</v>
      </c>
      <c r="P1" s="9" t="s">
        <v>14</v>
      </c>
    </row>
    <row r="2" spans="1:16" x14ac:dyDescent="0.35">
      <c r="A2">
        <v>10</v>
      </c>
      <c r="B2" t="s">
        <v>41</v>
      </c>
      <c r="C2">
        <v>10</v>
      </c>
      <c r="F2" t="s">
        <v>121</v>
      </c>
      <c r="G2" t="s">
        <v>130</v>
      </c>
      <c r="I2" s="1">
        <v>43779</v>
      </c>
      <c r="K2">
        <v>1</v>
      </c>
      <c r="L2" t="s">
        <v>139</v>
      </c>
      <c r="N2" t="s">
        <v>142</v>
      </c>
      <c r="O2">
        <v>1</v>
      </c>
      <c r="P2">
        <v>80</v>
      </c>
    </row>
    <row r="3" spans="1:16" x14ac:dyDescent="0.35">
      <c r="A3">
        <v>12</v>
      </c>
      <c r="B3" t="s">
        <v>42</v>
      </c>
      <c r="C3">
        <v>10</v>
      </c>
      <c r="F3" t="s">
        <v>122</v>
      </c>
      <c r="G3" t="s">
        <v>131</v>
      </c>
      <c r="I3" s="1">
        <f>I2-0.32</f>
        <v>43778.68</v>
      </c>
      <c r="K3">
        <v>2</v>
      </c>
      <c r="L3" t="s">
        <v>140</v>
      </c>
      <c r="N3" t="s">
        <v>143</v>
      </c>
      <c r="O3">
        <v>9</v>
      </c>
      <c r="P3">
        <v>82</v>
      </c>
    </row>
    <row r="4" spans="1:16" x14ac:dyDescent="0.35">
      <c r="A4">
        <v>13</v>
      </c>
      <c r="B4" t="s">
        <v>43</v>
      </c>
      <c r="C4">
        <v>10</v>
      </c>
      <c r="F4" t="s">
        <v>123</v>
      </c>
      <c r="G4" t="s">
        <v>132</v>
      </c>
      <c r="I4" s="1">
        <f t="shared" ref="I4:I67" si="0">I3-0.32</f>
        <v>43778.36</v>
      </c>
      <c r="K4">
        <v>3</v>
      </c>
      <c r="L4" t="s">
        <v>141</v>
      </c>
      <c r="N4" t="s">
        <v>144</v>
      </c>
      <c r="O4">
        <v>10</v>
      </c>
      <c r="P4">
        <v>84</v>
      </c>
    </row>
    <row r="5" spans="1:16" x14ac:dyDescent="0.35">
      <c r="A5">
        <v>14</v>
      </c>
      <c r="B5" t="s">
        <v>44</v>
      </c>
      <c r="C5">
        <v>10</v>
      </c>
      <c r="F5" t="s">
        <v>124</v>
      </c>
      <c r="G5" t="s">
        <v>133</v>
      </c>
      <c r="I5" s="1">
        <f t="shared" si="0"/>
        <v>43778.04</v>
      </c>
      <c r="N5" t="s">
        <v>145</v>
      </c>
      <c r="O5">
        <v>11</v>
      </c>
      <c r="P5">
        <v>88</v>
      </c>
    </row>
    <row r="6" spans="1:16" x14ac:dyDescent="0.35">
      <c r="A6">
        <v>15</v>
      </c>
      <c r="B6" t="s">
        <v>45</v>
      </c>
      <c r="C6">
        <v>10</v>
      </c>
      <c r="F6" t="s">
        <v>125</v>
      </c>
      <c r="G6" t="s">
        <v>36</v>
      </c>
      <c r="I6" s="1">
        <f t="shared" si="0"/>
        <v>43777.72</v>
      </c>
      <c r="N6" t="s">
        <v>146</v>
      </c>
      <c r="O6">
        <v>12</v>
      </c>
      <c r="P6">
        <v>89</v>
      </c>
    </row>
    <row r="7" spans="1:16" x14ac:dyDescent="0.35">
      <c r="A7">
        <v>16</v>
      </c>
      <c r="B7" t="s">
        <v>46</v>
      </c>
      <c r="C7">
        <v>10</v>
      </c>
      <c r="F7" t="s">
        <v>126</v>
      </c>
      <c r="G7" t="s">
        <v>134</v>
      </c>
      <c r="I7" s="1">
        <f t="shared" si="0"/>
        <v>43777.4</v>
      </c>
      <c r="N7" t="s">
        <v>147</v>
      </c>
      <c r="P7">
        <v>92</v>
      </c>
    </row>
    <row r="8" spans="1:16" x14ac:dyDescent="0.35">
      <c r="A8">
        <v>17</v>
      </c>
      <c r="B8" t="s">
        <v>47</v>
      </c>
      <c r="C8">
        <v>10</v>
      </c>
      <c r="F8" t="s">
        <v>127</v>
      </c>
      <c r="G8" t="s">
        <v>135</v>
      </c>
      <c r="I8" s="1">
        <f t="shared" si="0"/>
        <v>43777.08</v>
      </c>
      <c r="N8" t="s">
        <v>148</v>
      </c>
      <c r="P8">
        <v>97</v>
      </c>
    </row>
    <row r="9" spans="1:16" x14ac:dyDescent="0.35">
      <c r="A9">
        <v>18</v>
      </c>
      <c r="B9" t="s">
        <v>48</v>
      </c>
      <c r="C9">
        <v>11</v>
      </c>
      <c r="F9" t="s">
        <v>128</v>
      </c>
      <c r="G9" t="s">
        <v>136</v>
      </c>
      <c r="I9" s="1">
        <f t="shared" si="0"/>
        <v>43776.76</v>
      </c>
      <c r="N9" t="s">
        <v>149</v>
      </c>
      <c r="P9">
        <v>81</v>
      </c>
    </row>
    <row r="10" spans="1:16" x14ac:dyDescent="0.35">
      <c r="A10">
        <v>19</v>
      </c>
      <c r="B10" t="s">
        <v>49</v>
      </c>
      <c r="C10">
        <v>11</v>
      </c>
      <c r="F10" t="s">
        <v>129</v>
      </c>
      <c r="G10" t="s">
        <v>137</v>
      </c>
      <c r="I10" s="1">
        <f t="shared" si="0"/>
        <v>43776.44</v>
      </c>
      <c r="N10" t="s">
        <v>150</v>
      </c>
      <c r="P10">
        <v>83</v>
      </c>
    </row>
    <row r="11" spans="1:16" x14ac:dyDescent="0.35">
      <c r="A11">
        <v>20</v>
      </c>
      <c r="B11" t="s">
        <v>50</v>
      </c>
      <c r="C11">
        <v>11</v>
      </c>
      <c r="I11" s="1">
        <f t="shared" si="0"/>
        <v>43776.12</v>
      </c>
      <c r="N11" t="s">
        <v>151</v>
      </c>
      <c r="P11">
        <v>85</v>
      </c>
    </row>
    <row r="12" spans="1:16" x14ac:dyDescent="0.35">
      <c r="A12">
        <v>21</v>
      </c>
      <c r="B12" t="s">
        <v>51</v>
      </c>
      <c r="C12">
        <v>11</v>
      </c>
      <c r="I12" s="1">
        <f t="shared" si="0"/>
        <v>43775.8</v>
      </c>
      <c r="N12" t="s">
        <v>152</v>
      </c>
      <c r="P12">
        <v>86</v>
      </c>
    </row>
    <row r="13" spans="1:16" x14ac:dyDescent="0.35">
      <c r="A13">
        <v>22</v>
      </c>
      <c r="B13" t="s">
        <v>52</v>
      </c>
      <c r="C13">
        <v>11</v>
      </c>
      <c r="I13" s="1">
        <f t="shared" si="0"/>
        <v>43775.48</v>
      </c>
      <c r="N13" t="s">
        <v>153</v>
      </c>
      <c r="P13">
        <v>87</v>
      </c>
    </row>
    <row r="14" spans="1:16" x14ac:dyDescent="0.35">
      <c r="A14">
        <v>23</v>
      </c>
      <c r="B14" t="s">
        <v>53</v>
      </c>
      <c r="C14">
        <v>11</v>
      </c>
      <c r="I14" s="1">
        <f t="shared" si="0"/>
        <v>43775.16</v>
      </c>
      <c r="N14" t="s">
        <v>154</v>
      </c>
      <c r="P14">
        <v>90</v>
      </c>
    </row>
    <row r="15" spans="1:16" x14ac:dyDescent="0.35">
      <c r="A15">
        <v>24</v>
      </c>
      <c r="B15" t="s">
        <v>54</v>
      </c>
      <c r="C15">
        <v>11</v>
      </c>
      <c r="I15" s="1">
        <f t="shared" si="0"/>
        <v>43774.840000000004</v>
      </c>
      <c r="N15" t="s">
        <v>155</v>
      </c>
      <c r="P15">
        <v>91</v>
      </c>
    </row>
    <row r="16" spans="1:16" x14ac:dyDescent="0.35">
      <c r="A16">
        <v>25</v>
      </c>
      <c r="B16" t="s">
        <v>55</v>
      </c>
      <c r="C16">
        <v>11</v>
      </c>
      <c r="I16" s="1">
        <f t="shared" si="0"/>
        <v>43774.520000000004</v>
      </c>
      <c r="N16" t="s">
        <v>156</v>
      </c>
      <c r="P16">
        <v>93</v>
      </c>
    </row>
    <row r="17" spans="1:16" x14ac:dyDescent="0.35">
      <c r="A17">
        <v>26</v>
      </c>
      <c r="B17" t="s">
        <v>56</v>
      </c>
      <c r="C17">
        <v>11</v>
      </c>
      <c r="I17" s="1">
        <f t="shared" si="0"/>
        <v>43774.200000000004</v>
      </c>
      <c r="N17" t="s">
        <v>157</v>
      </c>
      <c r="P17">
        <v>94</v>
      </c>
    </row>
    <row r="18" spans="1:16" x14ac:dyDescent="0.35">
      <c r="A18">
        <v>27</v>
      </c>
      <c r="B18" t="s">
        <v>57</v>
      </c>
      <c r="C18">
        <v>11</v>
      </c>
      <c r="I18" s="1">
        <f t="shared" si="0"/>
        <v>43773.880000000005</v>
      </c>
      <c r="N18" t="s">
        <v>158</v>
      </c>
      <c r="P18">
        <v>95</v>
      </c>
    </row>
    <row r="19" spans="1:16" x14ac:dyDescent="0.35">
      <c r="A19">
        <v>28</v>
      </c>
      <c r="B19" t="s">
        <v>58</v>
      </c>
      <c r="C19">
        <v>11</v>
      </c>
      <c r="I19" s="1">
        <f t="shared" si="0"/>
        <v>43773.560000000005</v>
      </c>
      <c r="N19" t="s">
        <v>159</v>
      </c>
      <c r="P19">
        <v>96</v>
      </c>
    </row>
    <row r="20" spans="1:16" x14ac:dyDescent="0.35">
      <c r="A20">
        <v>29</v>
      </c>
      <c r="B20" t="s">
        <v>59</v>
      </c>
      <c r="C20">
        <v>11</v>
      </c>
      <c r="I20" s="1">
        <f t="shared" si="0"/>
        <v>43773.240000000005</v>
      </c>
      <c r="N20" t="s">
        <v>160</v>
      </c>
      <c r="P20">
        <v>98</v>
      </c>
    </row>
    <row r="21" spans="1:16" x14ac:dyDescent="0.35">
      <c r="A21">
        <v>30</v>
      </c>
      <c r="B21" t="s">
        <v>60</v>
      </c>
      <c r="C21">
        <v>11</v>
      </c>
      <c r="I21" s="1">
        <f t="shared" si="0"/>
        <v>43772.920000000006</v>
      </c>
      <c r="N21" t="s">
        <v>161</v>
      </c>
      <c r="P21">
        <v>99</v>
      </c>
    </row>
    <row r="22" spans="1:16" x14ac:dyDescent="0.35">
      <c r="A22">
        <v>31</v>
      </c>
      <c r="B22" t="s">
        <v>61</v>
      </c>
      <c r="C22">
        <v>11</v>
      </c>
      <c r="I22" s="1">
        <f t="shared" si="0"/>
        <v>43772.600000000006</v>
      </c>
      <c r="N22" t="s">
        <v>162</v>
      </c>
      <c r="P22">
        <v>100</v>
      </c>
    </row>
    <row r="23" spans="1:16" x14ac:dyDescent="0.35">
      <c r="A23">
        <v>32</v>
      </c>
      <c r="B23" t="s">
        <v>62</v>
      </c>
      <c r="C23">
        <v>11</v>
      </c>
      <c r="I23" s="1">
        <f t="shared" si="0"/>
        <v>43772.280000000006</v>
      </c>
      <c r="N23" t="s">
        <v>163</v>
      </c>
      <c r="P23">
        <v>101</v>
      </c>
    </row>
    <row r="24" spans="1:16" x14ac:dyDescent="0.35">
      <c r="A24">
        <v>33</v>
      </c>
      <c r="B24" t="s">
        <v>63</v>
      </c>
      <c r="C24">
        <v>11</v>
      </c>
      <c r="I24" s="1">
        <f t="shared" si="0"/>
        <v>43771.960000000006</v>
      </c>
      <c r="N24" t="s">
        <v>164</v>
      </c>
      <c r="P24">
        <v>102</v>
      </c>
    </row>
    <row r="25" spans="1:16" x14ac:dyDescent="0.35">
      <c r="A25">
        <v>34</v>
      </c>
      <c r="B25" t="s">
        <v>64</v>
      </c>
      <c r="C25">
        <v>11</v>
      </c>
      <c r="I25" s="1">
        <f t="shared" si="0"/>
        <v>43771.640000000007</v>
      </c>
      <c r="N25" t="s">
        <v>165</v>
      </c>
      <c r="P25">
        <v>103</v>
      </c>
    </row>
    <row r="26" spans="1:16" x14ac:dyDescent="0.35">
      <c r="A26">
        <v>35</v>
      </c>
      <c r="B26" t="s">
        <v>65</v>
      </c>
      <c r="C26">
        <v>11</v>
      </c>
      <c r="I26" s="1">
        <f t="shared" si="0"/>
        <v>43771.320000000007</v>
      </c>
      <c r="N26" t="s">
        <v>166</v>
      </c>
      <c r="P26">
        <v>104</v>
      </c>
    </row>
    <row r="27" spans="1:16" x14ac:dyDescent="0.35">
      <c r="A27">
        <v>36</v>
      </c>
      <c r="B27" t="s">
        <v>66</v>
      </c>
      <c r="C27">
        <v>11</v>
      </c>
      <c r="I27" s="1">
        <f t="shared" si="0"/>
        <v>43771.000000000007</v>
      </c>
      <c r="N27" t="s">
        <v>167</v>
      </c>
      <c r="P27">
        <v>105</v>
      </c>
    </row>
    <row r="28" spans="1:16" x14ac:dyDescent="0.35">
      <c r="A28">
        <v>37</v>
      </c>
      <c r="B28" t="s">
        <v>67</v>
      </c>
      <c r="C28">
        <v>12</v>
      </c>
      <c r="I28" s="1">
        <f t="shared" si="0"/>
        <v>43770.680000000008</v>
      </c>
    </row>
    <row r="29" spans="1:16" x14ac:dyDescent="0.35">
      <c r="A29">
        <v>38</v>
      </c>
      <c r="B29" t="s">
        <v>68</v>
      </c>
      <c r="C29">
        <v>12</v>
      </c>
      <c r="I29" s="1">
        <f t="shared" si="0"/>
        <v>43770.360000000008</v>
      </c>
    </row>
    <row r="30" spans="1:16" x14ac:dyDescent="0.35">
      <c r="A30">
        <v>39</v>
      </c>
      <c r="B30" t="s">
        <v>69</v>
      </c>
      <c r="C30">
        <v>12</v>
      </c>
      <c r="I30" s="1">
        <f t="shared" si="0"/>
        <v>43770.040000000008</v>
      </c>
    </row>
    <row r="31" spans="1:16" x14ac:dyDescent="0.35">
      <c r="A31">
        <v>40</v>
      </c>
      <c r="B31" t="s">
        <v>70</v>
      </c>
      <c r="C31">
        <v>12</v>
      </c>
      <c r="I31" s="1">
        <f t="shared" si="0"/>
        <v>43769.720000000008</v>
      </c>
    </row>
    <row r="32" spans="1:16" x14ac:dyDescent="0.35">
      <c r="A32">
        <v>41</v>
      </c>
      <c r="B32" t="s">
        <v>71</v>
      </c>
      <c r="C32">
        <v>12</v>
      </c>
      <c r="I32" s="1">
        <f t="shared" si="0"/>
        <v>43769.400000000009</v>
      </c>
    </row>
    <row r="33" spans="1:9" x14ac:dyDescent="0.35">
      <c r="A33">
        <v>42</v>
      </c>
      <c r="B33" t="s">
        <v>72</v>
      </c>
      <c r="C33">
        <v>12</v>
      </c>
      <c r="I33" s="1">
        <f t="shared" si="0"/>
        <v>43769.080000000009</v>
      </c>
    </row>
    <row r="34" spans="1:9" x14ac:dyDescent="0.35">
      <c r="A34">
        <v>43</v>
      </c>
      <c r="B34" t="s">
        <v>73</v>
      </c>
      <c r="C34">
        <v>12</v>
      </c>
      <c r="I34" s="1">
        <f t="shared" si="0"/>
        <v>43768.760000000009</v>
      </c>
    </row>
    <row r="35" spans="1:9" x14ac:dyDescent="0.35">
      <c r="A35">
        <v>44</v>
      </c>
      <c r="B35" t="s">
        <v>74</v>
      </c>
      <c r="C35">
        <v>12</v>
      </c>
      <c r="I35" s="1">
        <f t="shared" si="0"/>
        <v>43768.44000000001</v>
      </c>
    </row>
    <row r="36" spans="1:9" x14ac:dyDescent="0.35">
      <c r="A36">
        <v>45</v>
      </c>
      <c r="B36" t="s">
        <v>75</v>
      </c>
      <c r="C36">
        <v>12</v>
      </c>
      <c r="I36" s="1">
        <f t="shared" si="0"/>
        <v>43768.12000000001</v>
      </c>
    </row>
    <row r="37" spans="1:9" x14ac:dyDescent="0.35">
      <c r="A37">
        <v>46</v>
      </c>
      <c r="B37" t="s">
        <v>76</v>
      </c>
      <c r="C37">
        <v>12</v>
      </c>
      <c r="I37" s="1">
        <f t="shared" si="0"/>
        <v>43767.80000000001</v>
      </c>
    </row>
    <row r="38" spans="1:9" x14ac:dyDescent="0.35">
      <c r="A38">
        <v>47</v>
      </c>
      <c r="B38" t="s">
        <v>77</v>
      </c>
      <c r="C38">
        <v>12</v>
      </c>
      <c r="I38" s="1">
        <f t="shared" si="0"/>
        <v>43767.48000000001</v>
      </c>
    </row>
    <row r="39" spans="1:9" x14ac:dyDescent="0.35">
      <c r="A39">
        <v>48</v>
      </c>
      <c r="B39" t="s">
        <v>78</v>
      </c>
      <c r="C39">
        <v>12</v>
      </c>
      <c r="I39" s="1">
        <f t="shared" si="0"/>
        <v>43767.160000000011</v>
      </c>
    </row>
    <row r="40" spans="1:9" x14ac:dyDescent="0.35">
      <c r="A40">
        <v>49</v>
      </c>
      <c r="B40" t="s">
        <v>79</v>
      </c>
      <c r="C40">
        <v>12</v>
      </c>
      <c r="I40" s="1">
        <f t="shared" si="0"/>
        <v>43766.840000000011</v>
      </c>
    </row>
    <row r="41" spans="1:9" x14ac:dyDescent="0.35">
      <c r="A41">
        <v>50</v>
      </c>
      <c r="B41" t="s">
        <v>80</v>
      </c>
      <c r="C41">
        <v>12</v>
      </c>
      <c r="I41" s="1">
        <f t="shared" si="0"/>
        <v>43766.520000000011</v>
      </c>
    </row>
    <row r="42" spans="1:9" x14ac:dyDescent="0.35">
      <c r="A42">
        <v>51</v>
      </c>
      <c r="B42" t="s">
        <v>81</v>
      </c>
      <c r="C42">
        <v>12</v>
      </c>
      <c r="I42" s="1">
        <f t="shared" si="0"/>
        <v>43766.200000000012</v>
      </c>
    </row>
    <row r="43" spans="1:9" x14ac:dyDescent="0.35">
      <c r="A43">
        <v>52</v>
      </c>
      <c r="B43" t="s">
        <v>82</v>
      </c>
      <c r="C43">
        <v>12</v>
      </c>
      <c r="I43" s="1">
        <f t="shared" si="0"/>
        <v>43765.880000000012</v>
      </c>
    </row>
    <row r="44" spans="1:9" x14ac:dyDescent="0.35">
      <c r="A44">
        <v>53</v>
      </c>
      <c r="B44" t="s">
        <v>83</v>
      </c>
      <c r="C44">
        <v>12</v>
      </c>
      <c r="I44" s="1">
        <f t="shared" si="0"/>
        <v>43765.560000000012</v>
      </c>
    </row>
    <row r="45" spans="1:9" x14ac:dyDescent="0.35">
      <c r="A45">
        <v>54</v>
      </c>
      <c r="B45" t="s">
        <v>84</v>
      </c>
      <c r="C45">
        <v>12</v>
      </c>
      <c r="I45" s="1">
        <f t="shared" si="0"/>
        <v>43765.240000000013</v>
      </c>
    </row>
    <row r="46" spans="1:9" x14ac:dyDescent="0.35">
      <c r="A46">
        <v>55</v>
      </c>
      <c r="B46" t="s">
        <v>85</v>
      </c>
      <c r="C46">
        <v>12</v>
      </c>
      <c r="I46" s="1">
        <f t="shared" si="0"/>
        <v>43764.920000000013</v>
      </c>
    </row>
    <row r="47" spans="1:9" x14ac:dyDescent="0.35">
      <c r="A47">
        <v>56</v>
      </c>
      <c r="B47" t="s">
        <v>86</v>
      </c>
      <c r="C47">
        <v>12</v>
      </c>
      <c r="I47" s="1">
        <f t="shared" si="0"/>
        <v>43764.600000000013</v>
      </c>
    </row>
    <row r="48" spans="1:9" x14ac:dyDescent="0.35">
      <c r="A48">
        <v>57</v>
      </c>
      <c r="B48" t="s">
        <v>87</v>
      </c>
      <c r="C48">
        <v>12</v>
      </c>
      <c r="I48" s="1">
        <f t="shared" si="0"/>
        <v>43764.280000000013</v>
      </c>
    </row>
    <row r="49" spans="1:9" x14ac:dyDescent="0.35">
      <c r="A49">
        <v>58</v>
      </c>
      <c r="B49" t="s">
        <v>88</v>
      </c>
      <c r="C49">
        <v>12</v>
      </c>
      <c r="I49" s="1">
        <f t="shared" si="0"/>
        <v>43763.960000000014</v>
      </c>
    </row>
    <row r="50" spans="1:9" x14ac:dyDescent="0.35">
      <c r="A50">
        <v>59</v>
      </c>
      <c r="B50" t="s">
        <v>89</v>
      </c>
      <c r="C50">
        <v>12</v>
      </c>
      <c r="I50" s="1">
        <f t="shared" si="0"/>
        <v>43763.640000000014</v>
      </c>
    </row>
    <row r="51" spans="1:9" x14ac:dyDescent="0.35">
      <c r="A51">
        <v>60</v>
      </c>
      <c r="B51" t="s">
        <v>90</v>
      </c>
      <c r="C51">
        <v>12</v>
      </c>
      <c r="I51" s="1">
        <f t="shared" si="0"/>
        <v>43763.320000000014</v>
      </c>
    </row>
    <row r="52" spans="1:9" x14ac:dyDescent="0.35">
      <c r="A52">
        <v>61</v>
      </c>
      <c r="B52" t="s">
        <v>91</v>
      </c>
      <c r="C52">
        <v>12</v>
      </c>
      <c r="I52" s="1">
        <f t="shared" si="0"/>
        <v>43763.000000000015</v>
      </c>
    </row>
    <row r="53" spans="1:9" x14ac:dyDescent="0.35">
      <c r="A53">
        <v>62</v>
      </c>
      <c r="B53" t="s">
        <v>92</v>
      </c>
      <c r="C53">
        <v>12</v>
      </c>
      <c r="I53" s="1">
        <f t="shared" si="0"/>
        <v>43762.680000000015</v>
      </c>
    </row>
    <row r="54" spans="1:9" x14ac:dyDescent="0.35">
      <c r="A54">
        <v>63</v>
      </c>
      <c r="B54" t="s">
        <v>93</v>
      </c>
      <c r="C54">
        <v>12</v>
      </c>
      <c r="I54" s="1">
        <f t="shared" si="0"/>
        <v>43762.360000000015</v>
      </c>
    </row>
    <row r="55" spans="1:9" x14ac:dyDescent="0.35">
      <c r="A55">
        <v>64</v>
      </c>
      <c r="B55" t="s">
        <v>94</v>
      </c>
      <c r="C55">
        <v>12</v>
      </c>
      <c r="I55" s="1">
        <f t="shared" si="0"/>
        <v>43762.040000000015</v>
      </c>
    </row>
    <row r="56" spans="1:9" x14ac:dyDescent="0.35">
      <c r="A56">
        <v>65</v>
      </c>
      <c r="B56" t="s">
        <v>95</v>
      </c>
      <c r="C56">
        <v>12</v>
      </c>
      <c r="I56" s="1">
        <f t="shared" si="0"/>
        <v>43761.720000000016</v>
      </c>
    </row>
    <row r="57" spans="1:9" x14ac:dyDescent="0.35">
      <c r="A57">
        <v>66</v>
      </c>
      <c r="B57" t="s">
        <v>96</v>
      </c>
      <c r="C57">
        <v>12</v>
      </c>
      <c r="I57" s="1">
        <f t="shared" si="0"/>
        <v>43761.400000000016</v>
      </c>
    </row>
    <row r="58" spans="1:9" x14ac:dyDescent="0.35">
      <c r="A58">
        <v>67</v>
      </c>
      <c r="B58" t="s">
        <v>97</v>
      </c>
      <c r="C58">
        <v>12</v>
      </c>
      <c r="I58" s="1">
        <f t="shared" si="0"/>
        <v>43761.080000000016</v>
      </c>
    </row>
    <row r="59" spans="1:9" x14ac:dyDescent="0.35">
      <c r="A59">
        <v>68</v>
      </c>
      <c r="B59" t="s">
        <v>98</v>
      </c>
      <c r="C59">
        <v>12</v>
      </c>
      <c r="I59" s="1">
        <f t="shared" si="0"/>
        <v>43760.760000000017</v>
      </c>
    </row>
    <row r="60" spans="1:9" x14ac:dyDescent="0.35">
      <c r="A60">
        <v>69</v>
      </c>
      <c r="B60" t="s">
        <v>99</v>
      </c>
      <c r="C60">
        <v>12</v>
      </c>
      <c r="I60" s="1">
        <f t="shared" si="0"/>
        <v>43760.440000000017</v>
      </c>
    </row>
    <row r="61" spans="1:9" x14ac:dyDescent="0.35">
      <c r="A61">
        <v>70</v>
      </c>
      <c r="B61" t="s">
        <v>100</v>
      </c>
      <c r="C61">
        <v>12</v>
      </c>
      <c r="I61" s="1">
        <f t="shared" si="0"/>
        <v>43760.120000000017</v>
      </c>
    </row>
    <row r="62" spans="1:9" x14ac:dyDescent="0.35">
      <c r="A62">
        <v>71</v>
      </c>
      <c r="B62" t="s">
        <v>101</v>
      </c>
      <c r="C62">
        <v>12</v>
      </c>
      <c r="I62" s="1">
        <f t="shared" si="0"/>
        <v>43759.800000000017</v>
      </c>
    </row>
    <row r="63" spans="1:9" x14ac:dyDescent="0.35">
      <c r="A63">
        <v>72</v>
      </c>
      <c r="B63" t="s">
        <v>102</v>
      </c>
      <c r="C63">
        <v>12</v>
      </c>
      <c r="I63" s="1">
        <f t="shared" si="0"/>
        <v>43759.480000000018</v>
      </c>
    </row>
    <row r="64" spans="1:9" x14ac:dyDescent="0.35">
      <c r="A64">
        <v>73</v>
      </c>
      <c r="B64" t="s">
        <v>103</v>
      </c>
      <c r="C64">
        <v>12</v>
      </c>
      <c r="I64" s="1">
        <f t="shared" si="0"/>
        <v>43759.160000000018</v>
      </c>
    </row>
    <row r="65" spans="1:9" x14ac:dyDescent="0.35">
      <c r="A65">
        <v>74</v>
      </c>
      <c r="B65" t="s">
        <v>104</v>
      </c>
      <c r="C65">
        <v>12</v>
      </c>
      <c r="I65" s="1">
        <f t="shared" si="0"/>
        <v>43758.840000000018</v>
      </c>
    </row>
    <row r="66" spans="1:9" x14ac:dyDescent="0.35">
      <c r="A66">
        <v>75</v>
      </c>
      <c r="B66" t="s">
        <v>105</v>
      </c>
      <c r="C66">
        <v>12</v>
      </c>
      <c r="I66" s="1">
        <f t="shared" si="0"/>
        <v>43758.520000000019</v>
      </c>
    </row>
    <row r="67" spans="1:9" x14ac:dyDescent="0.35">
      <c r="A67">
        <v>76</v>
      </c>
      <c r="B67" t="s">
        <v>106</v>
      </c>
      <c r="C67">
        <v>12</v>
      </c>
      <c r="I67" s="1">
        <f t="shared" si="0"/>
        <v>43758.200000000019</v>
      </c>
    </row>
    <row r="68" spans="1:9" x14ac:dyDescent="0.35">
      <c r="A68">
        <v>77</v>
      </c>
      <c r="B68" t="s">
        <v>107</v>
      </c>
      <c r="C68">
        <v>12</v>
      </c>
      <c r="I68" s="1">
        <f t="shared" ref="I68:I129" si="1">I67-0.32</f>
        <v>43757.880000000019</v>
      </c>
    </row>
    <row r="69" spans="1:9" x14ac:dyDescent="0.35">
      <c r="A69">
        <v>78</v>
      </c>
      <c r="B69" t="s">
        <v>108</v>
      </c>
      <c r="C69">
        <v>13</v>
      </c>
      <c r="I69" s="1">
        <f t="shared" si="1"/>
        <v>43757.560000000019</v>
      </c>
    </row>
    <row r="70" spans="1:9" x14ac:dyDescent="0.35">
      <c r="A70">
        <v>79</v>
      </c>
      <c r="B70" t="s">
        <v>109</v>
      </c>
      <c r="C70">
        <v>13</v>
      </c>
      <c r="I70" s="1">
        <f t="shared" si="1"/>
        <v>43757.24000000002</v>
      </c>
    </row>
    <row r="71" spans="1:9" x14ac:dyDescent="0.35">
      <c r="A71">
        <v>80</v>
      </c>
      <c r="B71" t="s">
        <v>110</v>
      </c>
      <c r="C71">
        <v>13</v>
      </c>
      <c r="I71" s="1">
        <f t="shared" si="1"/>
        <v>43756.92000000002</v>
      </c>
    </row>
    <row r="72" spans="1:9" x14ac:dyDescent="0.35">
      <c r="A72">
        <v>81</v>
      </c>
      <c r="B72" t="s">
        <v>111</v>
      </c>
      <c r="C72">
        <v>13</v>
      </c>
      <c r="I72" s="1">
        <f t="shared" si="1"/>
        <v>43756.60000000002</v>
      </c>
    </row>
    <row r="73" spans="1:9" x14ac:dyDescent="0.35">
      <c r="A73">
        <v>82</v>
      </c>
      <c r="B73" t="s">
        <v>112</v>
      </c>
      <c r="C73">
        <v>13</v>
      </c>
      <c r="I73" s="1">
        <f t="shared" si="1"/>
        <v>43756.280000000021</v>
      </c>
    </row>
    <row r="74" spans="1:9" x14ac:dyDescent="0.35">
      <c r="A74">
        <v>83</v>
      </c>
      <c r="B74" t="s">
        <v>113</v>
      </c>
      <c r="C74">
        <v>13</v>
      </c>
      <c r="I74" s="1">
        <f t="shared" si="1"/>
        <v>43755.960000000021</v>
      </c>
    </row>
    <row r="75" spans="1:9" x14ac:dyDescent="0.35">
      <c r="A75">
        <v>84</v>
      </c>
      <c r="B75" t="s">
        <v>114</v>
      </c>
      <c r="C75">
        <v>13</v>
      </c>
      <c r="I75" s="1">
        <f t="shared" si="1"/>
        <v>43755.640000000021</v>
      </c>
    </row>
    <row r="76" spans="1:9" x14ac:dyDescent="0.35">
      <c r="A76">
        <v>85</v>
      </c>
      <c r="B76" t="s">
        <v>115</v>
      </c>
      <c r="C76">
        <v>13</v>
      </c>
      <c r="I76" s="1">
        <f t="shared" si="1"/>
        <v>43755.320000000022</v>
      </c>
    </row>
    <row r="77" spans="1:9" x14ac:dyDescent="0.35">
      <c r="A77">
        <v>86</v>
      </c>
      <c r="B77" t="s">
        <v>116</v>
      </c>
      <c r="C77">
        <v>13</v>
      </c>
      <c r="I77" s="1">
        <f t="shared" si="1"/>
        <v>43755.000000000022</v>
      </c>
    </row>
    <row r="78" spans="1:9" x14ac:dyDescent="0.35">
      <c r="A78">
        <v>87</v>
      </c>
      <c r="B78" t="s">
        <v>117</v>
      </c>
      <c r="C78">
        <v>13</v>
      </c>
      <c r="I78" s="1">
        <f t="shared" si="1"/>
        <v>43754.680000000022</v>
      </c>
    </row>
    <row r="79" spans="1:9" x14ac:dyDescent="0.35">
      <c r="A79">
        <v>88</v>
      </c>
      <c r="B79" t="s">
        <v>118</v>
      </c>
      <c r="C79">
        <v>13</v>
      </c>
      <c r="I79" s="1">
        <f t="shared" si="1"/>
        <v>43754.360000000022</v>
      </c>
    </row>
    <row r="80" spans="1:9" x14ac:dyDescent="0.35">
      <c r="I80" s="1">
        <f t="shared" si="1"/>
        <v>43754.040000000023</v>
      </c>
    </row>
    <row r="81" spans="9:9" x14ac:dyDescent="0.35">
      <c r="I81" s="1">
        <f t="shared" si="1"/>
        <v>43753.720000000023</v>
      </c>
    </row>
    <row r="82" spans="9:9" x14ac:dyDescent="0.35">
      <c r="I82" s="1">
        <f t="shared" si="1"/>
        <v>43753.400000000023</v>
      </c>
    </row>
    <row r="83" spans="9:9" x14ac:dyDescent="0.35">
      <c r="I83" s="1">
        <f t="shared" si="1"/>
        <v>43753.080000000024</v>
      </c>
    </row>
    <row r="84" spans="9:9" x14ac:dyDescent="0.35">
      <c r="I84" s="1">
        <f t="shared" si="1"/>
        <v>43752.760000000024</v>
      </c>
    </row>
    <row r="85" spans="9:9" x14ac:dyDescent="0.35">
      <c r="I85" s="1">
        <f t="shared" si="1"/>
        <v>43752.440000000024</v>
      </c>
    </row>
    <row r="86" spans="9:9" x14ac:dyDescent="0.35">
      <c r="I86" s="1">
        <f t="shared" si="1"/>
        <v>43752.120000000024</v>
      </c>
    </row>
    <row r="87" spans="9:9" x14ac:dyDescent="0.35">
      <c r="I87" s="1">
        <f t="shared" si="1"/>
        <v>43751.800000000025</v>
      </c>
    </row>
    <row r="88" spans="9:9" x14ac:dyDescent="0.35">
      <c r="I88" s="1">
        <f t="shared" si="1"/>
        <v>43751.480000000025</v>
      </c>
    </row>
    <row r="89" spans="9:9" x14ac:dyDescent="0.35">
      <c r="I89" s="1">
        <f t="shared" si="1"/>
        <v>43751.160000000025</v>
      </c>
    </row>
    <row r="90" spans="9:9" x14ac:dyDescent="0.35">
      <c r="I90" s="1">
        <f t="shared" si="1"/>
        <v>43750.840000000026</v>
      </c>
    </row>
    <row r="91" spans="9:9" x14ac:dyDescent="0.35">
      <c r="I91" s="1">
        <f t="shared" si="1"/>
        <v>43750.520000000026</v>
      </c>
    </row>
    <row r="92" spans="9:9" x14ac:dyDescent="0.35">
      <c r="I92" s="1">
        <f t="shared" si="1"/>
        <v>43750.200000000026</v>
      </c>
    </row>
    <row r="93" spans="9:9" x14ac:dyDescent="0.35">
      <c r="I93" s="1">
        <f t="shared" si="1"/>
        <v>43749.880000000026</v>
      </c>
    </row>
    <row r="94" spans="9:9" x14ac:dyDescent="0.35">
      <c r="I94" s="1">
        <f t="shared" si="1"/>
        <v>43749.560000000027</v>
      </c>
    </row>
    <row r="95" spans="9:9" x14ac:dyDescent="0.35">
      <c r="I95" s="1">
        <f t="shared" si="1"/>
        <v>43749.240000000027</v>
      </c>
    </row>
    <row r="96" spans="9:9" x14ac:dyDescent="0.35">
      <c r="I96" s="1">
        <f t="shared" si="1"/>
        <v>43748.920000000027</v>
      </c>
    </row>
    <row r="97" spans="9:9" x14ac:dyDescent="0.35">
      <c r="I97" s="1">
        <f t="shared" si="1"/>
        <v>43748.600000000028</v>
      </c>
    </row>
    <row r="98" spans="9:9" x14ac:dyDescent="0.35">
      <c r="I98" s="1">
        <f t="shared" si="1"/>
        <v>43748.280000000028</v>
      </c>
    </row>
    <row r="99" spans="9:9" x14ac:dyDescent="0.35">
      <c r="I99" s="1">
        <f t="shared" si="1"/>
        <v>43747.960000000028</v>
      </c>
    </row>
    <row r="100" spans="9:9" x14ac:dyDescent="0.35">
      <c r="I100" s="1">
        <f t="shared" si="1"/>
        <v>43747.640000000029</v>
      </c>
    </row>
    <row r="101" spans="9:9" x14ac:dyDescent="0.35">
      <c r="I101" s="1">
        <f t="shared" si="1"/>
        <v>43747.320000000029</v>
      </c>
    </row>
    <row r="102" spans="9:9" x14ac:dyDescent="0.35">
      <c r="I102" s="1">
        <f t="shared" si="1"/>
        <v>43747.000000000029</v>
      </c>
    </row>
    <row r="103" spans="9:9" x14ac:dyDescent="0.35">
      <c r="I103" s="1">
        <f t="shared" si="1"/>
        <v>43746.680000000029</v>
      </c>
    </row>
    <row r="104" spans="9:9" x14ac:dyDescent="0.35">
      <c r="I104" s="1">
        <f t="shared" si="1"/>
        <v>43746.36000000003</v>
      </c>
    </row>
    <row r="105" spans="9:9" x14ac:dyDescent="0.35">
      <c r="I105" s="1">
        <f t="shared" si="1"/>
        <v>43746.04000000003</v>
      </c>
    </row>
    <row r="106" spans="9:9" x14ac:dyDescent="0.35">
      <c r="I106" s="1">
        <f t="shared" si="1"/>
        <v>43745.72000000003</v>
      </c>
    </row>
    <row r="107" spans="9:9" x14ac:dyDescent="0.35">
      <c r="I107" s="1">
        <f t="shared" si="1"/>
        <v>43745.400000000031</v>
      </c>
    </row>
    <row r="108" spans="9:9" x14ac:dyDescent="0.35">
      <c r="I108" s="1">
        <f t="shared" si="1"/>
        <v>43745.080000000031</v>
      </c>
    </row>
    <row r="109" spans="9:9" x14ac:dyDescent="0.35">
      <c r="I109" s="1">
        <f t="shared" si="1"/>
        <v>43744.760000000031</v>
      </c>
    </row>
    <row r="110" spans="9:9" x14ac:dyDescent="0.35">
      <c r="I110" s="1">
        <f t="shared" si="1"/>
        <v>43744.440000000031</v>
      </c>
    </row>
    <row r="111" spans="9:9" x14ac:dyDescent="0.35">
      <c r="I111" s="1">
        <f t="shared" si="1"/>
        <v>43744.120000000032</v>
      </c>
    </row>
    <row r="112" spans="9:9" x14ac:dyDescent="0.35">
      <c r="I112" s="1">
        <f t="shared" si="1"/>
        <v>43743.800000000032</v>
      </c>
    </row>
    <row r="113" spans="9:9" x14ac:dyDescent="0.35">
      <c r="I113" s="1">
        <f t="shared" si="1"/>
        <v>43743.480000000032</v>
      </c>
    </row>
    <row r="114" spans="9:9" x14ac:dyDescent="0.35">
      <c r="I114" s="1">
        <f t="shared" si="1"/>
        <v>43743.160000000033</v>
      </c>
    </row>
    <row r="115" spans="9:9" x14ac:dyDescent="0.35">
      <c r="I115" s="1">
        <f t="shared" si="1"/>
        <v>43742.840000000033</v>
      </c>
    </row>
    <row r="116" spans="9:9" x14ac:dyDescent="0.35">
      <c r="I116" s="1">
        <f t="shared" si="1"/>
        <v>43742.520000000033</v>
      </c>
    </row>
    <row r="117" spans="9:9" x14ac:dyDescent="0.35">
      <c r="I117" s="1">
        <f t="shared" si="1"/>
        <v>43742.200000000033</v>
      </c>
    </row>
    <row r="118" spans="9:9" x14ac:dyDescent="0.35">
      <c r="I118" s="1">
        <f t="shared" si="1"/>
        <v>43741.880000000034</v>
      </c>
    </row>
    <row r="119" spans="9:9" x14ac:dyDescent="0.35">
      <c r="I119" s="1">
        <f t="shared" si="1"/>
        <v>43741.560000000034</v>
      </c>
    </row>
    <row r="120" spans="9:9" x14ac:dyDescent="0.35">
      <c r="I120" s="1">
        <f t="shared" si="1"/>
        <v>43741.240000000034</v>
      </c>
    </row>
    <row r="121" spans="9:9" x14ac:dyDescent="0.35">
      <c r="I121" s="1">
        <f t="shared" si="1"/>
        <v>43740.920000000035</v>
      </c>
    </row>
    <row r="122" spans="9:9" x14ac:dyDescent="0.35">
      <c r="I122" s="1">
        <f t="shared" si="1"/>
        <v>43740.600000000035</v>
      </c>
    </row>
    <row r="123" spans="9:9" x14ac:dyDescent="0.35">
      <c r="I123" s="1">
        <f t="shared" si="1"/>
        <v>43740.280000000035</v>
      </c>
    </row>
    <row r="124" spans="9:9" x14ac:dyDescent="0.35">
      <c r="I124" s="1">
        <f t="shared" si="1"/>
        <v>43739.960000000036</v>
      </c>
    </row>
    <row r="125" spans="9:9" x14ac:dyDescent="0.35">
      <c r="I125" s="1">
        <f t="shared" si="1"/>
        <v>43739.640000000036</v>
      </c>
    </row>
    <row r="126" spans="9:9" x14ac:dyDescent="0.35">
      <c r="I126" s="1">
        <f t="shared" si="1"/>
        <v>43739.320000000036</v>
      </c>
    </row>
    <row r="127" spans="9:9" x14ac:dyDescent="0.35">
      <c r="I127" s="1">
        <f t="shared" si="1"/>
        <v>43739.000000000036</v>
      </c>
    </row>
    <row r="128" spans="9:9" x14ac:dyDescent="0.35">
      <c r="I128" s="1">
        <f t="shared" si="1"/>
        <v>43738.680000000037</v>
      </c>
    </row>
    <row r="129" spans="9:9" x14ac:dyDescent="0.35">
      <c r="I129" s="1">
        <f t="shared" si="1"/>
        <v>43738.360000000037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Data</vt:lpstr>
      <vt:lpstr>Lookups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Schmitt</dc:creator>
  <cp:lastModifiedBy>Peter Schmitt</cp:lastModifiedBy>
  <dcterms:created xsi:type="dcterms:W3CDTF">2019-11-07T13:31:15Z</dcterms:created>
  <dcterms:modified xsi:type="dcterms:W3CDTF">2019-11-08T20:58:36Z</dcterms:modified>
</cp:coreProperties>
</file>